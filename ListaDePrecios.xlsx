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E:\SistemasEmbebidos\"/>
    </mc:Choice>
  </mc:AlternateContent>
  <xr:revisionPtr revIDLastSave="0" documentId="8_{19DFCD6E-CA82-4B91-8D61-0739CDB49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  <sheet name="Proveedores" sheetId="2" r:id="rId2"/>
    <sheet name="Notas" sheetId="3" r:id="rId3"/>
  </sheets>
  <definedNames>
    <definedName name="_xlnm._FilterDatabase" localSheetId="0" hidden="1">BOM!$A$4:$J$21</definedName>
  </definedName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22" i="1" l="1"/>
</calcChain>
</file>

<file path=xl/sharedStrings.xml><?xml version="1.0" encoding="utf-8"?>
<sst xmlns="http://schemas.openxmlformats.org/spreadsheetml/2006/main" count="180" uniqueCount="139">
  <si>
    <t>Cantidad</t>
  </si>
  <si>
    <t>Elemento</t>
  </si>
  <si>
    <t>Categoría</t>
  </si>
  <si>
    <t>Descripción / función</t>
  </si>
  <si>
    <t>Marca</t>
  </si>
  <si>
    <t>Referencia</t>
  </si>
  <si>
    <t>Precio unitario (COP)</t>
  </si>
  <si>
    <t>Costo total (COP)</t>
  </si>
  <si>
    <t>Placa de desarrollo</t>
  </si>
  <si>
    <t>ESP32</t>
  </si>
  <si>
    <t>Microcontrolador principal con Wi-Fi/Bluetooth</t>
  </si>
  <si>
    <t>Genérico</t>
  </si>
  <si>
    <t>Mercado Libre Colombia</t>
  </si>
  <si>
    <t>MAX6675 + termocupla K</t>
  </si>
  <si>
    <t>Sensor de temperatura</t>
  </si>
  <si>
    <t>Módulo</t>
  </si>
  <si>
    <t>Medición de alta temperatura para el tostado</t>
  </si>
  <si>
    <t>MAX6675-K</t>
  </si>
  <si>
    <t>BME280</t>
  </si>
  <si>
    <t>Sensor ambiental</t>
  </si>
  <si>
    <t>Módulo I2C</t>
  </si>
  <si>
    <t>Temperatura, humedad y presión del ambiente</t>
  </si>
  <si>
    <t>OLED 0.96" I2C</t>
  </si>
  <si>
    <t>Display</t>
  </si>
  <si>
    <t>Visualización local de temperatura, estado y parámetros</t>
  </si>
  <si>
    <t>SSD1306 128x64</t>
  </si>
  <si>
    <t>DS3231</t>
  </si>
  <si>
    <t>RTC</t>
  </si>
  <si>
    <t>Reloj de tiempo real para registrar eventos y tiempos de tostado</t>
  </si>
  <si>
    <t>LED RGB</t>
  </si>
  <si>
    <t>Indicador</t>
  </si>
  <si>
    <t>Componente</t>
  </si>
  <si>
    <t>Indicador visual del estado del proceso y alarmas</t>
  </si>
  <si>
    <t>LED RGB 5 mm</t>
  </si>
  <si>
    <t>Pulsador</t>
  </si>
  <si>
    <t>Entrada</t>
  </si>
  <si>
    <t>Inicio, parada y navegación del sistema</t>
  </si>
  <si>
    <t>Push Button</t>
  </si>
  <si>
    <t>DFPlayer Mini</t>
  </si>
  <si>
    <t>Reproducción de audio</t>
  </si>
  <si>
    <t>Avisos sonoros del proceso de tostado</t>
  </si>
  <si>
    <t>Altavoz 3 W / 4 Ω</t>
  </si>
  <si>
    <t>Audio</t>
  </si>
  <si>
    <t>Salida de audio para avisos del DFPlayer</t>
  </si>
  <si>
    <t>3 W 4 Ω</t>
  </si>
  <si>
    <t>Fuente 12 V / 5 A</t>
  </si>
  <si>
    <t>Alimentación</t>
  </si>
  <si>
    <t>Fuente DC</t>
  </si>
  <si>
    <t>Alimentación de potencia para actuadores y módulos</t>
  </si>
  <si>
    <t>12V 5A</t>
  </si>
  <si>
    <t>Módulo relé/SSR</t>
  </si>
  <si>
    <t>Control de potencia</t>
  </si>
  <si>
    <t>Conmutación/control del elemento calefactor</t>
  </si>
  <si>
    <t>SSR o relé según carga</t>
  </si>
  <si>
    <t>Ventilador DC 12 V</t>
  </si>
  <si>
    <t>Actuador</t>
  </si>
  <si>
    <t>Motor</t>
  </si>
  <si>
    <t>Circulación de aire y apoyo al enfriamiento</t>
  </si>
  <si>
    <t>12 V</t>
  </si>
  <si>
    <t>Elemento calefactor</t>
  </si>
  <si>
    <t>Resistencia</t>
  </si>
  <si>
    <t>Fuente de calor del tostador</t>
  </si>
  <si>
    <t>Según diseño mecánico</t>
  </si>
  <si>
    <t>Protoboard o PCB de pruebas</t>
  </si>
  <si>
    <t>Montaje</t>
  </si>
  <si>
    <t>Placa</t>
  </si>
  <si>
    <t>Montaje y pruebas del circuito de control</t>
  </si>
  <si>
    <t>Protoboard</t>
  </si>
  <si>
    <t>Kit de cables Dupont</t>
  </si>
  <si>
    <t>Cableado</t>
  </si>
  <si>
    <t>Accesorio</t>
  </si>
  <si>
    <t>Interconexión entre sensores, ESP32 y módulos</t>
  </si>
  <si>
    <t>M-M/M-H/H-H</t>
  </si>
  <si>
    <t>Caja/gabinete</t>
  </si>
  <si>
    <t>Protección</t>
  </si>
  <si>
    <t>Enclosure</t>
  </si>
  <si>
    <t>Protección del sistema electrónico frente al calor y manipulación</t>
  </si>
  <si>
    <t>Según dimensiones</t>
  </si>
  <si>
    <t>Disipador/aislamiento térmico</t>
  </si>
  <si>
    <t>Seguridad térmica</t>
  </si>
  <si>
    <t>Protección de la electrónica frente a transferencia de calor</t>
  </si>
  <si>
    <t>Según diseño</t>
  </si>
  <si>
    <t>TOTAL BOM</t>
  </si>
  <si>
    <t>Proveedor</t>
  </si>
  <si>
    <t>Ubicación / cobertura</t>
  </si>
  <si>
    <t>Qué conviene cotizar</t>
  </si>
  <si>
    <t>Referencia / contacto</t>
  </si>
  <si>
    <t>Comentario</t>
  </si>
  <si>
    <t>Electrotek Mega</t>
  </si>
  <si>
    <t>Popayán, Cauca</t>
  </si>
  <si>
    <t>ESP32, sensores, módulos, protoboard, cables y electrónica</t>
  </si>
  <si>
    <t>electrotekmega.com | Cel. 322 509 0922 / 316 835 1235</t>
  </si>
  <si>
    <t>Proveedor local especialmente útil para reducir tiempos y costos de envío.</t>
  </si>
  <si>
    <t>La Nota Musical</t>
  </si>
  <si>
    <t>Centro de Popayán</t>
  </si>
  <si>
    <t>Arduino, módulos, displays, componentes y accesorios</t>
  </si>
  <si>
    <t>Calle 6ª No. 7-51 y Calle 6ª No. 7-18</t>
  </si>
  <si>
    <t>Tiene presencia física en el centro y catálogo de electrónica.</t>
  </si>
  <si>
    <t>Astron Electrónica</t>
  </si>
  <si>
    <t>Centro, Popayán</t>
  </si>
  <si>
    <t>Componentes electrónicos y accesorios</t>
  </si>
  <si>
    <t>Cl. 6 #10-7</t>
  </si>
  <si>
    <t>Buena opción para preguntar por componentes pequeños y cableado.</t>
  </si>
  <si>
    <t>A&amp;C electrónica</t>
  </si>
  <si>
    <t>Popayán</t>
  </si>
  <si>
    <t>Componentes y electrónica</t>
  </si>
  <si>
    <t>Cra. 17 #6a-29</t>
  </si>
  <si>
    <t>Alternativa local para cotizar componentes.</t>
  </si>
  <si>
    <t>ElectroCiencia</t>
  </si>
  <si>
    <t>Popayán / Cauca</t>
  </si>
  <si>
    <t>Automatización, fuentes y elementos eléctricos</t>
  </si>
  <si>
    <t>electrociencia.com.co</t>
  </si>
  <si>
    <t>Empresa caucana; útil para elementos de potencia y automatización.</t>
  </si>
  <si>
    <t>Envío a Popayán</t>
  </si>
  <si>
    <t>ESP32, MAX6675, OLED, DFPlayer y sensores</t>
  </si>
  <si>
    <t>Se usó como referencia de precios actuales; verificar vendedor, envío y fecha.</t>
  </si>
  <si>
    <t>NOTAS PARA DILIGENCIAR LA BOM</t>
  </si>
  <si>
    <t>1.</t>
  </si>
  <si>
    <t>Los precios web son referencias en COP consultadas en septiembre de 2026. Deben verificarse al momento de comprar.</t>
  </si>
  <si>
    <t>2.</t>
  </si>
  <si>
    <t>Para una entrega académica conviene conservar una columna de precio estimado y otra de precio cotizado realmente.</t>
  </si>
  <si>
    <t>3.</t>
  </si>
  <si>
    <t>En un tostador, el sensor de alta temperatura debe ser una termocupla tipo K con MAX6675 (o equivalente); un sensor ambiental como BME280 no debe exponerse directamente a la cámara de tostado.</t>
  </si>
  <si>
    <t>4.</t>
  </si>
  <si>
    <t>El elemento calefactor y el relé/SSR deben dimensionarse con la tensión, potencia y corriente reales del tostador. No comprar estos elementos solo por el precio de referencia.</t>
  </si>
  <si>
    <t>5.</t>
  </si>
  <si>
    <t>La electrónica debe mantenerse físicamente aislada de la zona caliente mediante gabinete, aislamiento y ventilación adecuados.</t>
  </si>
  <si>
    <t>6.</t>
  </si>
  <si>
    <t>Si el proyecto exige ESP32-CAM-MB en lugar de ESP32-WROOM, reemplazar la fila del microcontrolador y ajustar el costo.</t>
  </si>
  <si>
    <t>7.</t>
  </si>
  <si>
    <t>Si el diseño final no utiliza BME280, DS3231, LDR o DFPlayer, esas filas deben eliminarse para que la BOM represente únicamente el prototipo real.</t>
  </si>
  <si>
    <t>Mercado Libre</t>
  </si>
  <si>
    <t>La Nota Musical, Mercado Libre</t>
  </si>
  <si>
    <t xml:space="preserve">Mercado Libre </t>
  </si>
  <si>
    <t>Ferretería</t>
  </si>
  <si>
    <t>La Nota Musical, Astron Electronica</t>
  </si>
  <si>
    <t>Mercado Libre, Astron Electronica</t>
  </si>
  <si>
    <t xml:space="preserve">Proveedor 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</si>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</sst>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3" borderId="0" xfId="0" applyFont="1" applyFill="1" applyAlignment="1">
      <alignment horizontal="center" wrapText="1"/>
    </xf>
    <xf numFmtId="0" fontId="1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B1" zoomScale="96" workbookViewId="0">
      <pane ySplit="4" topLeftCell="A5" activePane="bottomLeft" state="frozen"/>
      <selection pane="bottomLeft" activeCell="D4" sqref="D4"/>
    </sheetView>
  </sheetViews>
  <sheetFormatPr baseColWidth="10" defaultColWidth="8.88671875" defaultRowHeight="14.4" x14ac:dyDescent="0.3"/>
  <cols>
    <col min="1" max="1" width="10" customWidth="1"/>
    <col min="2" max="2" width="24" customWidth="1"/>
    <col min="3" max="4" width="20" customWidth="1"/>
    <col min="5" max="5" width="42" customWidth="1"/>
    <col min="6" max="6" width="15" customWidth="1"/>
    <col min="7" max="7" width="22" customWidth="1"/>
    <col min="8" max="8" width="19" customWidth="1"/>
    <col min="9" max="9" width="32" customWidth="1"/>
    <col min="10" max="10" width="19" customWidth="1"/>
  </cols>
  <sheetData>
    <row r="1" spans="1:10" ht="28.05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3">
      <c r="A4" s="1" t="s">
        <v>0</v>
      </c>
      <c r="B4" s="1" t="s">
        <v>1</v>
      </c>
      <c r="C4" s="1" t="s">
        <v>2</v>
      </c>
      <c r="D4" s="1" t="s">
        <v>138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137</v>
      </c>
      <c r="J4" s="1" t="s">
        <v>7</v>
      </c>
    </row>
    <row r="5" spans="1:10" x14ac:dyDescent="0.3">
      <c r="A5" s="2">
        <v>1</v>
      </c>
      <c r="B5" s="2" t="s">
        <v>9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9</v>
      </c>
      <c r="H5" s="3">
        <v>28000</v>
      </c>
      <c r="I5" s="2" t="s">
        <v>131</v>
      </c>
      <c r="J5" s="3">
        <f t="shared" ref="J5:J21" si="0">A5*H5</f>
        <v>28000</v>
      </c>
    </row>
    <row r="6" spans="1:10" x14ac:dyDescent="0.3">
      <c r="A6" s="2">
        <v>1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11</v>
      </c>
      <c r="G6" s="2" t="s">
        <v>17</v>
      </c>
      <c r="H6" s="3">
        <v>22000</v>
      </c>
      <c r="I6" s="2" t="s">
        <v>131</v>
      </c>
      <c r="J6" s="3">
        <f t="shared" si="0"/>
        <v>22000</v>
      </c>
    </row>
    <row r="7" spans="1:10" x14ac:dyDescent="0.3">
      <c r="A7" s="2">
        <v>1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11</v>
      </c>
      <c r="G7" s="2" t="s">
        <v>18</v>
      </c>
      <c r="H7" s="3">
        <v>18000</v>
      </c>
      <c r="I7" s="2" t="s">
        <v>131</v>
      </c>
      <c r="J7" s="3">
        <f t="shared" si="0"/>
        <v>18000</v>
      </c>
    </row>
    <row r="8" spans="1:10" ht="28.8" x14ac:dyDescent="0.3">
      <c r="A8" s="2">
        <v>1</v>
      </c>
      <c r="B8" s="2" t="s">
        <v>22</v>
      </c>
      <c r="C8" s="2" t="s">
        <v>23</v>
      </c>
      <c r="D8" s="2" t="s">
        <v>15</v>
      </c>
      <c r="E8" s="2" t="s">
        <v>24</v>
      </c>
      <c r="F8" s="2" t="s">
        <v>11</v>
      </c>
      <c r="G8" s="2" t="s">
        <v>25</v>
      </c>
      <c r="H8" s="3">
        <v>19000</v>
      </c>
      <c r="I8" s="2" t="s">
        <v>132</v>
      </c>
      <c r="J8" s="3">
        <f t="shared" si="0"/>
        <v>19000</v>
      </c>
    </row>
    <row r="9" spans="1:10" ht="28.8" x14ac:dyDescent="0.3">
      <c r="A9" s="2">
        <v>1</v>
      </c>
      <c r="B9" s="2" t="s">
        <v>26</v>
      </c>
      <c r="C9" s="2" t="s">
        <v>27</v>
      </c>
      <c r="D9" s="2" t="s">
        <v>20</v>
      </c>
      <c r="E9" s="2" t="s">
        <v>28</v>
      </c>
      <c r="F9" s="2" t="s">
        <v>11</v>
      </c>
      <c r="G9" s="2" t="s">
        <v>26</v>
      </c>
      <c r="H9" s="3">
        <v>12000</v>
      </c>
      <c r="I9" s="2" t="s">
        <v>131</v>
      </c>
      <c r="J9" s="3">
        <f t="shared" si="0"/>
        <v>12000</v>
      </c>
    </row>
    <row r="10" spans="1:10" x14ac:dyDescent="0.3">
      <c r="A10" s="2">
        <v>1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11</v>
      </c>
      <c r="G10" s="2" t="s">
        <v>33</v>
      </c>
      <c r="H10" s="3">
        <v>1500</v>
      </c>
      <c r="I10" s="2" t="s">
        <v>98</v>
      </c>
      <c r="J10" s="3">
        <f t="shared" si="0"/>
        <v>1500</v>
      </c>
    </row>
    <row r="11" spans="1:10" x14ac:dyDescent="0.3">
      <c r="A11" s="2">
        <v>3</v>
      </c>
      <c r="B11" s="2" t="s">
        <v>34</v>
      </c>
      <c r="C11" s="2" t="s">
        <v>35</v>
      </c>
      <c r="D11" s="2" t="s">
        <v>31</v>
      </c>
      <c r="E11" s="2" t="s">
        <v>36</v>
      </c>
      <c r="F11" s="2" t="s">
        <v>11</v>
      </c>
      <c r="G11" s="2" t="s">
        <v>37</v>
      </c>
      <c r="H11" s="3">
        <v>1000</v>
      </c>
      <c r="I11" s="2" t="s">
        <v>98</v>
      </c>
      <c r="J11" s="3">
        <f t="shared" si="0"/>
        <v>3000</v>
      </c>
    </row>
    <row r="12" spans="1:10" x14ac:dyDescent="0.3">
      <c r="A12" s="2">
        <v>1</v>
      </c>
      <c r="B12" s="2" t="s">
        <v>38</v>
      </c>
      <c r="C12" s="2" t="s">
        <v>39</v>
      </c>
      <c r="D12" s="2" t="s">
        <v>15</v>
      </c>
      <c r="E12" s="2" t="s">
        <v>40</v>
      </c>
      <c r="F12" s="2" t="s">
        <v>11</v>
      </c>
      <c r="G12" s="2" t="s">
        <v>38</v>
      </c>
      <c r="H12" s="3">
        <v>11200</v>
      </c>
      <c r="I12" s="2" t="s">
        <v>131</v>
      </c>
      <c r="J12" s="3">
        <f t="shared" si="0"/>
        <v>11200</v>
      </c>
    </row>
    <row r="13" spans="1:10" x14ac:dyDescent="0.3">
      <c r="A13" s="2">
        <v>1</v>
      </c>
      <c r="B13" s="2" t="s">
        <v>41</v>
      </c>
      <c r="C13" s="2" t="s">
        <v>42</v>
      </c>
      <c r="D13" s="2" t="s">
        <v>31</v>
      </c>
      <c r="E13" s="2" t="s">
        <v>43</v>
      </c>
      <c r="F13" s="2" t="s">
        <v>11</v>
      </c>
      <c r="G13" s="2" t="s">
        <v>44</v>
      </c>
      <c r="H13" s="3">
        <v>8000</v>
      </c>
      <c r="I13" s="2" t="s">
        <v>135</v>
      </c>
      <c r="J13" s="3">
        <f t="shared" si="0"/>
        <v>8000</v>
      </c>
    </row>
    <row r="14" spans="1:10" ht="28.8" x14ac:dyDescent="0.3">
      <c r="A14" s="2">
        <v>1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11</v>
      </c>
      <c r="G14" s="2" t="s">
        <v>49</v>
      </c>
      <c r="H14" s="3">
        <v>45000</v>
      </c>
      <c r="I14" s="2" t="s">
        <v>133</v>
      </c>
      <c r="J14" s="3">
        <f t="shared" si="0"/>
        <v>45000</v>
      </c>
    </row>
    <row r="15" spans="1:10" x14ac:dyDescent="0.3">
      <c r="A15" s="2">
        <v>1</v>
      </c>
      <c r="B15" s="2" t="s">
        <v>50</v>
      </c>
      <c r="C15" s="2" t="s">
        <v>51</v>
      </c>
      <c r="D15" s="2" t="s">
        <v>15</v>
      </c>
      <c r="E15" s="2" t="s">
        <v>52</v>
      </c>
      <c r="F15" s="2" t="s">
        <v>11</v>
      </c>
      <c r="G15" s="2" t="s">
        <v>53</v>
      </c>
      <c r="H15" s="3">
        <v>25000</v>
      </c>
      <c r="I15" s="2" t="s">
        <v>131</v>
      </c>
      <c r="J15" s="3">
        <f t="shared" si="0"/>
        <v>25000</v>
      </c>
    </row>
    <row r="16" spans="1:10" x14ac:dyDescent="0.3">
      <c r="A16" s="2">
        <v>1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11</v>
      </c>
      <c r="G16" s="2" t="s">
        <v>58</v>
      </c>
      <c r="H16" s="3">
        <v>22000</v>
      </c>
      <c r="I16" s="2" t="s">
        <v>131</v>
      </c>
      <c r="J16" s="3">
        <f t="shared" si="0"/>
        <v>22000</v>
      </c>
    </row>
    <row r="17" spans="1:10" x14ac:dyDescent="0.3">
      <c r="A17" s="2">
        <v>1</v>
      </c>
      <c r="B17" s="2" t="s">
        <v>59</v>
      </c>
      <c r="C17" s="2" t="s">
        <v>55</v>
      </c>
      <c r="D17" s="2" t="s">
        <v>60</v>
      </c>
      <c r="E17" s="2" t="s">
        <v>61</v>
      </c>
      <c r="F17" s="2" t="s">
        <v>11</v>
      </c>
      <c r="G17" s="2" t="s">
        <v>62</v>
      </c>
      <c r="H17" s="3">
        <v>60000</v>
      </c>
      <c r="I17" s="2" t="s">
        <v>131</v>
      </c>
      <c r="J17" s="3">
        <f t="shared" si="0"/>
        <v>60000</v>
      </c>
    </row>
    <row r="18" spans="1:10" ht="28.8" x14ac:dyDescent="0.3">
      <c r="A18" s="2">
        <v>1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11</v>
      </c>
      <c r="G18" s="2" t="s">
        <v>67</v>
      </c>
      <c r="H18" s="3">
        <v>15000</v>
      </c>
      <c r="I18" s="2" t="s">
        <v>135</v>
      </c>
      <c r="J18" s="3">
        <f t="shared" si="0"/>
        <v>15000</v>
      </c>
    </row>
    <row r="19" spans="1:10" x14ac:dyDescent="0.3">
      <c r="A19" s="2">
        <v>1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11</v>
      </c>
      <c r="G19" s="2" t="s">
        <v>72</v>
      </c>
      <c r="H19" s="3">
        <v>12000</v>
      </c>
      <c r="I19" s="2" t="s">
        <v>136</v>
      </c>
      <c r="J19" s="3">
        <f t="shared" si="0"/>
        <v>12000</v>
      </c>
    </row>
    <row r="20" spans="1:10" ht="28.8" x14ac:dyDescent="0.3">
      <c r="A20" s="2">
        <v>1</v>
      </c>
      <c r="B20" s="2" t="s">
        <v>73</v>
      </c>
      <c r="C20" s="2" t="s">
        <v>74</v>
      </c>
      <c r="D20" s="2" t="s">
        <v>75</v>
      </c>
      <c r="E20" s="2" t="s">
        <v>76</v>
      </c>
      <c r="F20" s="2" t="s">
        <v>11</v>
      </c>
      <c r="G20" s="2" t="s">
        <v>77</v>
      </c>
      <c r="H20" s="3">
        <v>30000</v>
      </c>
      <c r="I20" s="2" t="s">
        <v>134</v>
      </c>
      <c r="J20" s="3">
        <f t="shared" si="0"/>
        <v>30000</v>
      </c>
    </row>
    <row r="21" spans="1:10" ht="28.8" x14ac:dyDescent="0.3">
      <c r="A21" s="2">
        <v>1</v>
      </c>
      <c r="B21" s="2" t="s">
        <v>78</v>
      </c>
      <c r="C21" s="2" t="s">
        <v>79</v>
      </c>
      <c r="D21" s="2" t="s">
        <v>70</v>
      </c>
      <c r="E21" s="2" t="s">
        <v>80</v>
      </c>
      <c r="F21" s="2" t="s">
        <v>11</v>
      </c>
      <c r="G21" s="2" t="s">
        <v>81</v>
      </c>
      <c r="H21" s="3">
        <v>25000</v>
      </c>
      <c r="I21" s="2" t="s">
        <v>134</v>
      </c>
      <c r="J21" s="3">
        <f t="shared" si="0"/>
        <v>25000</v>
      </c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4" t="s">
        <v>82</v>
      </c>
      <c r="J22" s="5">
        <f>SUM(J5:J21)</f>
        <v>356700</v>
      </c>
    </row>
  </sheetData>
  <autoFilter ref="A4:J21" xr:uid="{00000000-0009-0000-0000-000000000000}"/>
  <mergeCells count="2">
    <mergeCell ref="A2:J2"/>
    <mergeCell ref="A1:J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24" customWidth="1"/>
    <col min="3" max="4" width="42" customWidth="1"/>
    <col min="5" max="5" width="55" customWidth="1"/>
  </cols>
  <sheetData>
    <row r="1" spans="1:5" x14ac:dyDescent="0.3">
      <c r="A1" s="6" t="s">
        <v>83</v>
      </c>
      <c r="B1" s="6" t="s">
        <v>84</v>
      </c>
      <c r="C1" s="6" t="s">
        <v>85</v>
      </c>
      <c r="D1" s="6" t="s">
        <v>86</v>
      </c>
      <c r="E1" s="6" t="s">
        <v>87</v>
      </c>
    </row>
    <row r="2" spans="1:5" ht="28.8" x14ac:dyDescent="0.3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</row>
    <row r="3" spans="1:5" ht="28.8" x14ac:dyDescent="0.3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</row>
    <row r="4" spans="1:5" ht="28.8" x14ac:dyDescent="0.3">
      <c r="A4" s="2" t="s">
        <v>98</v>
      </c>
      <c r="B4" s="2" t="s">
        <v>99</v>
      </c>
      <c r="C4" s="2" t="s">
        <v>100</v>
      </c>
      <c r="D4" s="2" t="s">
        <v>101</v>
      </c>
      <c r="E4" s="2" t="s">
        <v>102</v>
      </c>
    </row>
    <row r="5" spans="1:5" x14ac:dyDescent="0.3">
      <c r="A5" s="2" t="s">
        <v>103</v>
      </c>
      <c r="B5" s="2" t="s">
        <v>104</v>
      </c>
      <c r="C5" s="2" t="s">
        <v>105</v>
      </c>
      <c r="D5" s="2" t="s">
        <v>106</v>
      </c>
      <c r="E5" s="2" t="s">
        <v>107</v>
      </c>
    </row>
    <row r="6" spans="1:5" ht="28.8" x14ac:dyDescent="0.3">
      <c r="A6" s="2" t="s">
        <v>108</v>
      </c>
      <c r="B6" s="2" t="s">
        <v>109</v>
      </c>
      <c r="C6" s="2" t="s">
        <v>110</v>
      </c>
      <c r="D6" s="2" t="s">
        <v>111</v>
      </c>
      <c r="E6" s="2" t="s">
        <v>112</v>
      </c>
    </row>
    <row r="7" spans="1:5" ht="28.8" x14ac:dyDescent="0.3">
      <c r="A7" s="2" t="s">
        <v>12</v>
      </c>
      <c r="B7" s="2" t="s">
        <v>113</v>
      </c>
      <c r="C7" s="2" t="s">
        <v>114</v>
      </c>
      <c r="D7" s="2" t="s">
        <v>12</v>
      </c>
      <c r="E7" s="2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8671875" defaultRowHeight="14.4" x14ac:dyDescent="0.3"/>
  <cols>
    <col min="1" max="1" width="6" customWidth="1"/>
    <col min="2" max="2" width="115" customWidth="1"/>
  </cols>
  <sheetData>
    <row r="1" spans="1:2" ht="18" x14ac:dyDescent="0.35">
      <c r="A1" s="7" t="s">
        <v>116</v>
      </c>
    </row>
    <row r="3" spans="1:2" x14ac:dyDescent="0.3">
      <c r="A3" s="8" t="s">
        <v>117</v>
      </c>
      <c r="B3" s="9" t="s">
        <v>118</v>
      </c>
    </row>
    <row r="4" spans="1:2" x14ac:dyDescent="0.3">
      <c r="A4" s="8" t="s">
        <v>119</v>
      </c>
      <c r="B4" s="9" t="s">
        <v>120</v>
      </c>
    </row>
    <row r="5" spans="1:2" ht="28.8" x14ac:dyDescent="0.3">
      <c r="A5" s="8" t="s">
        <v>121</v>
      </c>
      <c r="B5" s="9" t="s">
        <v>122</v>
      </c>
    </row>
    <row r="6" spans="1:2" ht="28.8" x14ac:dyDescent="0.3">
      <c r="A6" s="8" t="s">
        <v>123</v>
      </c>
      <c r="B6" s="9" t="s">
        <v>124</v>
      </c>
    </row>
    <row r="7" spans="1:2" x14ac:dyDescent="0.3">
      <c r="A7" s="8" t="s">
        <v>125</v>
      </c>
      <c r="B7" s="9" t="s">
        <v>126</v>
      </c>
    </row>
    <row r="8" spans="1:2" x14ac:dyDescent="0.3">
      <c r="A8" s="8" t="s">
        <v>127</v>
      </c>
      <c r="B8" s="9" t="s">
        <v>128</v>
      </c>
    </row>
    <row r="9" spans="1:2" ht="28.8" x14ac:dyDescent="0.3">
      <c r="A9" s="8" t="s">
        <v>129</v>
      </c>
      <c r="B9" s="9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BOM</vt:lpstr>
      <vt:lpstr>Proveedores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Darcy Ceronn</cp:lastModifiedBy>
  <dcterms:created xsi:type="dcterms:W3CDTF">2026-09-13T00:54:43Z</dcterms:created>
  <dcterms:modified xsi:type="dcterms:W3CDTF">2026-09-13T01:22:52Z</dcterms:modified>
</cp:coreProperties>
</file>